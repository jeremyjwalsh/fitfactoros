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fil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Evidence" sheetId="4" state="visible" r:id="rId4"/>
    <sheet xmlns:r="http://schemas.openxmlformats.org/officeDocument/2006/relationships" name="Interviews" sheetId="5" state="visible" r:id="rId5"/>
    <sheet xmlns:r="http://schemas.openxmlformats.org/officeDocument/2006/relationships" name="Activity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1F3A5F"/>
      <sz val="14"/>
    </font>
  </fonts>
  <fills count="6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0" fontId="0" fillId="4" borderId="0" pivotButton="0" quotePrefix="0" xfId="0"/>
    <xf numFmtId="0" fontId="14" fillId="0" borderId="1" pivotButton="0" quotePrefix="0" xfId="0"/>
    <xf numFmtId="164" fontId="15" fillId="0" borderId="1" pivotButton="0" quotePrefix="0" xfId="0"/>
    <xf numFmtId="0" fontId="0" fillId="0" borderId="1" pivotButton="0" quotePrefix="0" xfId="0"/>
    <xf numFmtId="0" fontId="15" fillId="0" borderId="1" pivotButton="0" quotePrefix="0" xfId="0"/>
    <xf numFmtId="0" fontId="12" fillId="0" borderId="1" pivotButton="0" quotePrefix="0" xfId="0"/>
    <xf numFmtId="0" fontId="15" fillId="5" borderId="1" pivotButton="0" quotePrefix="0" xfId="0"/>
    <xf numFmtId="9" fontId="15" fillId="0" borderId="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Jobs at each rung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'Dashboard'!$A$27:$A$35</f>
            </numRef>
          </cat>
          <val>
            <numRef>
              <f>'Dashboard'!$B$27:$B$35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style="9" min="1" max="1"/>
    <col width="16" customWidth="1" style="9" min="2" max="2"/>
    <col width="16" customWidth="1" style="9" min="3" max="3"/>
    <col width="50" customWidth="1" style="9" min="4" max="4"/>
  </cols>
  <sheetData>
    <row r="1">
      <c r="A1" s="18" t="inlineStr">
        <is>
          <t>FitFactorOS Dashboard</t>
        </is>
      </c>
    </row>
    <row r="2">
      <c r="A2" s="19" t="inlineStr">
        <is>
          <t>Updates on its own as you paste rows into the other tabs. Example rows are ignored. Nothing to type here except the yellow cell.</t>
        </is>
      </c>
    </row>
    <row r="4">
      <c r="A4" s="20" t="inlineStr">
        <is>
          <t>This week (Sunday to Saturday)</t>
        </is>
      </c>
      <c r="B4" s="21" t="n"/>
      <c r="C4" s="21" t="n"/>
      <c r="D4" s="21" t="n"/>
    </row>
    <row r="5">
      <c r="A5" s="22" t="inlineStr">
        <is>
          <t>Week starts</t>
        </is>
      </c>
      <c r="B5" s="23">
        <f>TODAY()-WEEKDAY(TODAY())+1</f>
        <v/>
      </c>
      <c r="C5" s="24" t="n"/>
      <c r="D5" s="24" t="n"/>
    </row>
    <row r="6">
      <c r="A6" s="22" t="inlineStr">
        <is>
          <t>Week ends</t>
        </is>
      </c>
      <c r="B6" s="23">
        <f>B5+6</f>
        <v/>
      </c>
      <c r="C6" s="24" t="n"/>
      <c r="D6" s="24" t="n"/>
    </row>
    <row r="7">
      <c r="A7" s="22" t="inlineStr">
        <is>
          <t>Jobs screened this week</t>
        </is>
      </c>
      <c r="B7" s="25">
        <f>COUNTIFS(Jobs!$A$2:$A$1000,"J-*",Jobs!$A$2:$A$1000,"&lt;&gt;*EXAMPLE",Jobs!$B$2:$B$1000,"&gt;="&amp;$B$5,Jobs!$B$2:$B$1000,"&lt;="&amp;$B$6)</f>
        <v/>
      </c>
      <c r="C7" s="24" t="n"/>
      <c r="D7" s="26" t="inlineStr">
        <is>
          <t>Every job you fit factor, including Passes</t>
        </is>
      </c>
    </row>
    <row r="8">
      <c r="A8" s="22" t="inlineStr">
        <is>
          <t>Activities this week that count for unemployment</t>
        </is>
      </c>
      <c r="B8" s="25">
        <f>COUNTIFS(Activity!$J$2:$J$1000,"Yes",Activity!$A$2:$A$1000,"&gt;="&amp;$B$5,Activity!$A$2:$A$1000,"&lt;="&amp;$B$6)</f>
        <v/>
      </c>
      <c r="C8" s="24" t="n"/>
      <c r="D8" s="26" t="inlineStr">
        <is>
          <t>Rows on the Activity tab marked Yes</t>
        </is>
      </c>
    </row>
    <row r="9">
      <c r="A9" s="22" t="inlineStr">
        <is>
          <t>Your state's weekly minimum</t>
        </is>
      </c>
      <c r="B9" s="27" t="n">
        <v>3</v>
      </c>
      <c r="C9" s="24" t="n"/>
      <c r="D9" s="26" t="inlineStr">
        <is>
          <t>Type your state's number. Massachusetts asks for at least 3. Check your state's current rule.</t>
        </is>
      </c>
    </row>
    <row r="10">
      <c r="A10" s="22" t="inlineStr">
        <is>
          <t>On track this week?</t>
        </is>
      </c>
      <c r="B10" s="25">
        <f>IF(B7+B8&gt;=B9,"On track","Need "&amp;(B9-B7-B8)&amp;" more")</f>
        <v/>
      </c>
      <c r="C10" s="24" t="n"/>
      <c r="D10" s="26" t="inlineStr">
        <is>
          <t>Rough check: screened jobs plus activities. Your weekly log gives the exact count.</t>
        </is>
      </c>
    </row>
    <row r="12">
      <c r="A12" s="20" t="inlineStr">
        <is>
          <t>Your search so far</t>
        </is>
      </c>
      <c r="B12" s="21" t="n"/>
      <c r="C12" s="21" t="n"/>
      <c r="D12" s="21" t="n"/>
    </row>
    <row r="13">
      <c r="A13" s="22" t="inlineStr">
        <is>
          <t>Jobs screened</t>
        </is>
      </c>
      <c r="B13" s="25">
        <f>COUNTIFS(Jobs!$A$2:$A$1000,"J-*",Jobs!$A$2:$A$1000,"&lt;&gt;*EXAMPLE")</f>
        <v/>
      </c>
      <c r="C13" s="24" t="n"/>
      <c r="D13" s="24" t="n"/>
    </row>
    <row r="14">
      <c r="A14" s="22" t="inlineStr">
        <is>
          <t>Pursue</t>
        </is>
      </c>
      <c r="B14" s="25">
        <f>COUNTIFS(Jobs!$A$2:$A$1000,"J-*",Jobs!$A$2:$A$1000,"&lt;&gt;*EXAMPLE",Jobs!$M$2:$M$1000,"Pursue")</f>
        <v/>
      </c>
      <c r="C14" s="24" t="n"/>
      <c r="D14" s="24" t="n"/>
    </row>
    <row r="15">
      <c r="A15" s="22" t="inlineStr">
        <is>
          <t>Maybe</t>
        </is>
      </c>
      <c r="B15" s="25">
        <f>COUNTIFS(Jobs!$A$2:$A$1000,"J-*",Jobs!$A$2:$A$1000,"&lt;&gt;*EXAMPLE",Jobs!$M$2:$M$1000,"Maybe")</f>
        <v/>
      </c>
      <c r="C15" s="24" t="n"/>
      <c r="D15" s="24" t="n"/>
    </row>
    <row r="16">
      <c r="A16" s="22" t="inlineStr">
        <is>
          <t>Pass</t>
        </is>
      </c>
      <c r="B16" s="25">
        <f>COUNTIFS(Jobs!$A$2:$A$1000,"J-*",Jobs!$A$2:$A$1000,"&lt;&gt;*EXAMPLE",Jobs!$M$2:$M$1000,"Pass")</f>
        <v/>
      </c>
      <c r="C16" s="24" t="n"/>
      <c r="D16" s="24" t="n"/>
    </row>
    <row r="17">
      <c r="A17" s="22" t="inlineStr">
        <is>
          <t>Active leads</t>
        </is>
      </c>
      <c r="B17" s="25">
        <f>COUNTIFS(Jobs!$A$2:$A$1000,"J-*",Jobs!$A$2:$A$1000,"&lt;&gt;*EXAMPLE",Jobs!$S$2:$S$1000,"Active")</f>
        <v/>
      </c>
      <c r="C17" s="24" t="n"/>
      <c r="D17" s="24" t="n"/>
    </row>
    <row r="18">
      <c r="A18" s="22" t="inlineStr">
        <is>
          <t>Interviews logged</t>
        </is>
      </c>
      <c r="B18" s="25">
        <f>COUNTIFS(Interviews!$B$2:$B$1000,"&lt;&gt;",Interviews!$A$2:$A$1000,"&lt;&gt;*EXAMPLE")</f>
        <v/>
      </c>
      <c r="C18" s="24" t="n"/>
      <c r="D18" s="24" t="n"/>
    </row>
    <row r="20">
      <c r="A20" s="20" t="inlineStr">
        <is>
          <t>Warm vs cold: your own results</t>
        </is>
      </c>
      <c r="B20" s="20" t="inlineStr">
        <is>
          <t>Warm</t>
        </is>
      </c>
      <c r="C20" s="20" t="inlineStr">
        <is>
          <t>Cold</t>
        </is>
      </c>
      <c r="D20" s="21" t="n"/>
    </row>
    <row r="21">
      <c r="A21" s="22" t="inlineStr">
        <is>
          <t>Leads</t>
        </is>
      </c>
      <c r="B21" s="25">
        <f>COUNTIFS(Jobs!$A$2:$A$1000,"J-*",Jobs!$A$2:$A$1000,"&lt;&gt;*EXAMPLE",Jobs!$N$2:$N$1000,"Warm")</f>
        <v/>
      </c>
      <c r="C21" s="25">
        <f>COUNTIFS(Jobs!$A$2:$A$1000,"J-*",Jobs!$A$2:$A$1000,"&lt;&gt;*EXAMPLE",Jobs!$N$2:$N$1000,"Cold")</f>
        <v/>
      </c>
      <c r="D21" s="24" t="n"/>
    </row>
    <row r="22">
      <c r="A22" s="22" t="inlineStr">
        <is>
          <t>Reached Applied or further</t>
        </is>
      </c>
      <c r="B22" s="25">
        <f>SUMPRODUCT(COUNTIFS(Jobs!$A$2:$A$1000,"J-*",Jobs!$A$2:$A$1000,"&lt;&gt;*EXAMPLE",Jobs!$N$2:$N$1000,"Warm",Jobs!$P$2:$P$1000,{"Applied","Heard back","Interviewing","Offer"}))</f>
        <v/>
      </c>
      <c r="C22" s="25">
        <f>SUMPRODUCT(COUNTIFS(Jobs!$A$2:$A$1000,"J-*",Jobs!$A$2:$A$1000,"&lt;&gt;*EXAMPLE",Jobs!$N$2:$N$1000,"Cold",Jobs!$P$2:$P$1000,{"Applied","Heard back","Interviewing","Offer"}))</f>
        <v/>
      </c>
      <c r="D22" s="24" t="n"/>
    </row>
    <row r="23">
      <c r="A23" s="22" t="inlineStr">
        <is>
          <t>Reached Interviewing or further</t>
        </is>
      </c>
      <c r="B23" s="25">
        <f>SUMPRODUCT(COUNTIFS(Jobs!$A$2:$A$1000,"J-*",Jobs!$A$2:$A$1000,"&lt;&gt;*EXAMPLE",Jobs!$N$2:$N$1000,"Warm",Jobs!$P$2:$P$1000,{"Interviewing","Offer"}))</f>
        <v/>
      </c>
      <c r="C23" s="25">
        <f>SUMPRODUCT(COUNTIFS(Jobs!$A$2:$A$1000,"J-*",Jobs!$A$2:$A$1000,"&lt;&gt;*EXAMPLE",Jobs!$N$2:$N$1000,"Cold",Jobs!$P$2:$P$1000,{"Interviewing","Offer"}))</f>
        <v/>
      </c>
      <c r="D23" s="24" t="n"/>
    </row>
    <row r="24">
      <c r="A24" s="22" t="inlineStr">
        <is>
          <t>Leads that became interviews</t>
        </is>
      </c>
      <c r="B24" s="28">
        <f>IFERROR(B23/B21,"—")</f>
        <v/>
      </c>
      <c r="C24" s="28">
        <f>IFERROR(C23/C21,"—")</f>
        <v/>
      </c>
      <c r="D24" s="26" t="inlineStr">
        <is>
          <t>Your numbers, not borrowed stats. Small counts swing a lot, so read this after 10+ leads.</t>
        </is>
      </c>
    </row>
    <row r="26">
      <c r="A26" s="20" t="inlineStr">
        <is>
          <t>The ladder: where your jobs are now</t>
        </is>
      </c>
      <c r="B26" s="21" t="n"/>
      <c r="C26" s="21" t="n"/>
      <c r="D26" s="21" t="n"/>
    </row>
    <row r="27">
      <c r="A27" s="22" t="inlineStr">
        <is>
          <t>Picked</t>
        </is>
      </c>
      <c r="B27" s="25">
        <f>COUNTIFS(Jobs!$A$2:$A$1000,"J-*",Jobs!$A$2:$A$1000,"&lt;&gt;*EXAMPLE",Jobs!$P$2:$P$1000,"Picked")</f>
        <v/>
      </c>
      <c r="C27" s="24" t="n"/>
      <c r="D27" s="26" t="inlineStr">
        <is>
          <t>Rungs only move for real steps. Warm paths often skip the middle rungs.</t>
        </is>
      </c>
    </row>
    <row r="28">
      <c r="A28" s="22" t="inlineStr">
        <is>
          <t>Researched</t>
        </is>
      </c>
      <c r="B28" s="25">
        <f>COUNTIFS(Jobs!$A$2:$A$1000,"J-*",Jobs!$A$2:$A$1000,"&lt;&gt;*EXAMPLE",Jobs!$P$2:$P$1000,"Researched")</f>
        <v/>
      </c>
      <c r="C28" s="24" t="n"/>
      <c r="D28" s="24" t="n"/>
    </row>
    <row r="29">
      <c r="A29" s="22" t="inlineStr">
        <is>
          <t>Found the right person</t>
        </is>
      </c>
      <c r="B29" s="25">
        <f>COUNTIFS(Jobs!$A$2:$A$1000,"J-*",Jobs!$A$2:$A$1000,"&lt;&gt;*EXAMPLE",Jobs!$P$2:$P$1000,"Found the right person")</f>
        <v/>
      </c>
      <c r="C29" s="24" t="n"/>
      <c r="D29" s="24" t="n"/>
    </row>
    <row r="30">
      <c r="A30" s="22" t="inlineStr">
        <is>
          <t>Reached out to contact</t>
        </is>
      </c>
      <c r="B30" s="25">
        <f>COUNTIFS(Jobs!$A$2:$A$1000,"J-*",Jobs!$A$2:$A$1000,"&lt;&gt;*EXAMPLE",Jobs!$P$2:$P$1000,"Reached out to contact")</f>
        <v/>
      </c>
      <c r="C30" s="24" t="n"/>
      <c r="D30" s="24" t="n"/>
    </row>
    <row r="31">
      <c r="A31" s="22" t="inlineStr">
        <is>
          <t>Sent a researched note</t>
        </is>
      </c>
      <c r="B31" s="25">
        <f>COUNTIFS(Jobs!$A$2:$A$1000,"J-*",Jobs!$A$2:$A$1000,"&lt;&gt;*EXAMPLE",Jobs!$P$2:$P$1000,"Sent a researched note")</f>
        <v/>
      </c>
      <c r="C31" s="24" t="n"/>
      <c r="D31" s="24" t="n"/>
    </row>
    <row r="32">
      <c r="A32" s="22" t="inlineStr">
        <is>
          <t>Applied</t>
        </is>
      </c>
      <c r="B32" s="25">
        <f>COUNTIFS(Jobs!$A$2:$A$1000,"J-*",Jobs!$A$2:$A$1000,"&lt;&gt;*EXAMPLE",Jobs!$P$2:$P$1000,"Applied")</f>
        <v/>
      </c>
      <c r="C32" s="24" t="n"/>
      <c r="D32" s="24" t="n"/>
    </row>
    <row r="33">
      <c r="A33" s="22" t="inlineStr">
        <is>
          <t>Heard back</t>
        </is>
      </c>
      <c r="B33" s="25">
        <f>COUNTIFS(Jobs!$A$2:$A$1000,"J-*",Jobs!$A$2:$A$1000,"&lt;&gt;*EXAMPLE",Jobs!$P$2:$P$1000,"Heard back")</f>
        <v/>
      </c>
      <c r="C33" s="24" t="n"/>
      <c r="D33" s="24" t="n"/>
    </row>
    <row r="34">
      <c r="A34" s="22" t="inlineStr">
        <is>
          <t>Interviewing</t>
        </is>
      </c>
      <c r="B34" s="25">
        <f>COUNTIFS(Jobs!$A$2:$A$1000,"J-*",Jobs!$A$2:$A$1000,"&lt;&gt;*EXAMPLE",Jobs!$P$2:$P$1000,"Interviewing")</f>
        <v/>
      </c>
      <c r="C34" s="24" t="n"/>
      <c r="D34" s="24" t="n"/>
    </row>
    <row r="35">
      <c r="A35" s="22" t="inlineStr">
        <is>
          <t>Offer</t>
        </is>
      </c>
      <c r="B35" s="25">
        <f>COUNTIFS(Jobs!$A$2:$A$1000,"J-*",Jobs!$A$2:$A$1000,"&lt;&gt;*EXAMPLE",Jobs!$P$2:$P$1000,"Offer")</f>
        <v/>
      </c>
      <c r="C35" s="24" t="n"/>
      <c r="D35" s="2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s="9">
      <c r="A6" s="11" t="inlineStr">
        <is>
          <t>Years of experience</t>
        </is>
      </c>
      <c r="B6" s="12" t="n"/>
      <c r="C6" s="13" t="inlineStr">
        <is>
          <t>About 9 (estimate)</t>
        </is>
      </c>
      <c r="D6" s="14" t="inlineStr">
        <is>
          <t>Turn 1 (resume) or Turn 4</t>
        </is>
      </c>
      <c r="E6" s="14" t="n"/>
    </row>
    <row r="7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1" s="9">
      <c r="A21" s="15" t="inlineStr">
        <is>
          <t>How to use this tab</t>
        </is>
      </c>
    </row>
    <row r="22" s="9">
      <c r="A22" s="16" t="inlineStr">
        <is>
          <t>1. After Intake, click B2 and paste the answer block. Your answers fill B2 through B19.</t>
        </is>
      </c>
    </row>
    <row r="23" s="9">
      <c r="A23" s="16" t="inlineStr">
        <is>
          <t>2. To change one answer later, ask Claude to 'update my profile'. It tells you which cell to paste into.</t>
        </is>
      </c>
    </row>
    <row r="24" s="9">
      <c r="A24" s="16" t="inlineStr">
        <is>
          <t>Yellow cells are yours to fill. Column C is a fictional example.</t>
        </is>
      </c>
    </row>
    <row r="25" s="9">
      <c r="A25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  <col width="16" customWidth="1" style="9" min="13" max="13"/>
    <col width="24" customWidth="1" style="9" min="14" max="14"/>
    <col width="28" customWidth="1" style="9" min="15" max="15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  <c r="M1" s="10" t="inlineStr">
        <is>
          <t>Pay rate</t>
        </is>
      </c>
      <c r="N1" s="10" t="inlineStr">
        <is>
          <t>Employer address</t>
        </is>
      </c>
      <c r="O1" s="10" t="inlineStr">
        <is>
          <t>Contact info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n"/>
      <c r="K2" s="13" t="n"/>
      <c r="L2" s="13" t="inlineStr">
        <is>
          <t>EXAMPLE ROW – delete</t>
        </is>
      </c>
      <c r="M2" s="13" t="inlineStr">
        <is>
          <t>$100,000–$120,000</t>
        </is>
      </c>
      <c r="N2" s="13" t="inlineStr">
        <is>
          <t>Boston, MA</t>
        </is>
      </c>
      <c r="O2" s="13" t="inlineStr">
        <is>
          <t>a.friend@example.com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2026-10-11T17:03:58Z</dcterms:modified>
  <cp:revision>0</cp:revision>
</cp:coreProperties>
</file>