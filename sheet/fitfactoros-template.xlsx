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file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Evidence" sheetId="4" state="visible" r:id="rId4"/>
    <sheet xmlns:r="http://schemas.openxmlformats.org/officeDocument/2006/relationships" name="Interviews" sheetId="5" state="visible" r:id="rId5"/>
    <sheet xmlns:r="http://schemas.openxmlformats.org/officeDocument/2006/relationships" name="Activity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i val="1"/>
      <color rgb="FF7F7F7F"/>
      <sz val="11"/>
    </font>
    <font>
      <name val="Arial"/>
      <charset val="1"/>
      <family val="0"/>
      <b val="1"/>
      <color rgb="FF1F3A5F"/>
      <sz val="11"/>
    </font>
    <font>
      <name val="Arial"/>
      <charset val="1"/>
      <family val="0"/>
      <color rgb="FF404040"/>
      <sz val="11"/>
    </font>
    <font>
      <name val="Arial"/>
      <family val="2"/>
      <sz val="10"/>
    </font>
    <font>
      <name val="Arial"/>
      <b val="1"/>
      <color rgb="001F3A5F"/>
      <sz val="16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1F3A5F"/>
      <sz val="14"/>
    </font>
  </fonts>
  <fills count="6">
    <fill>
      <patternFill/>
    </fill>
    <fill>
      <patternFill patternType="gray125"/>
    </fill>
    <fill>
      <patternFill patternType="solid">
        <fgColor rgb="FF1F3A5F"/>
        <bgColor rgb="FF404040"/>
      </patternFill>
    </fill>
    <fill>
      <patternFill patternType="solid">
        <fgColor rgb="FFFFF8DC"/>
        <bgColor rgb="FFFFFFFF"/>
      </patternFill>
    </fill>
    <fill>
      <patternFill patternType="solid">
        <fgColor rgb="001F3A5F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4" borderId="0" pivotButton="0" quotePrefix="0" xfId="0"/>
    <xf numFmtId="0" fontId="0" fillId="4" borderId="0" pivotButton="0" quotePrefix="0" xfId="0"/>
    <xf numFmtId="0" fontId="14" fillId="0" borderId="1" pivotButton="0" quotePrefix="0" xfId="0"/>
    <xf numFmtId="164" fontId="15" fillId="0" borderId="1" pivotButton="0" quotePrefix="0" xfId="0"/>
    <xf numFmtId="0" fontId="0" fillId="0" borderId="1" pivotButton="0" quotePrefix="0" xfId="0"/>
    <xf numFmtId="0" fontId="15" fillId="0" borderId="1" pivotButton="0" quotePrefix="0" xfId="0"/>
    <xf numFmtId="0" fontId="12" fillId="0" borderId="1" pivotButton="0" quotePrefix="0" xfId="0"/>
    <xf numFmtId="0" fontId="15" fillId="5" borderId="1" pivotButton="0" quotePrefix="0" xfId="0"/>
    <xf numFmtId="9" fontId="15" fillId="0" borderId="1" pivotButton="0" quotePrefix="0" xfId="0"/>
    <xf numFmtId="0" fontId="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8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Jobs at each rung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'Dashboard'!$A$27:$A$35</f>
            </numRef>
          </cat>
          <val>
            <numRef>
              <f>'Dashboard'!$B$27:$B$35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Don't edit this column. Intake answers line up with it.</t>
      </text>
    </comment>
    <comment ref="B1" authorId="0" shapeId="0">
      <text>
        <t>Paste Intake's answer block into B2. Your answers fill B2 through B19.</t>
      </text>
    </comment>
    <comment ref="C1" authorId="0" shapeId="0">
      <text>
        <t>Fictional example of the format. Safe to ignore.</t>
      </text>
    </comment>
    <comment ref="D1" authorId="0" shapeId="0">
      <text>
        <t>Which Intake step fills this row.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1" authorId="0" shapeId="0">
      <text>
        <t>J-YYMMDD-COMPANY, e.g. J-260924-FABRIKAM. Same ID on every tab for this job.</t>
      </text>
    </comment>
    <comment ref="B1" authorId="0" shapeId="0">
      <text>
        <t>YYYY-MM-DD</t>
      </text>
    </comment>
    <comment ref="E1" authorId="0" shapeId="0">
      <text>
        <t>Posting URL</t>
      </text>
    </comment>
    <comment ref="F1" authorId="0" shapeId="0">
      <text>
        <t>Where you found it</t>
      </text>
    </comment>
    <comment ref="G1" authorId="0" shapeId="0">
      <text>
        <t>Who pointed you to it, if anyone. Often your warm path.</t>
      </text>
    </comment>
    <comment ref="I1" authorId="0" shapeId="0">
      <text>
        <t>Remote / Hybrid / On-site</t>
      </text>
    </comment>
    <comment ref="J1" authorId="0" shapeId="0">
      <text>
        <t>As posted, or estimated</t>
      </text>
    </comment>
    <comment ref="K1" authorId="0" shapeId="0">
      <text>
        <t>Verified = posted by the company. Estimated = worked out from similar roles.</t>
      </text>
    </comment>
    <comment ref="L1" authorId="0" shapeId="0">
      <text>
        <t>0–100, from the Research agent</t>
      </text>
    </comment>
    <comment ref="M1" authorId="0" shapeId="0">
      <text>
        <t>Pursue / Maybe / Pass</t>
      </text>
    </comment>
    <comment ref="N1" authorId="0" shapeId="0">
      <text>
        <t>Warm or Cold</t>
      </text>
    </comment>
    <comment ref="O1" authorId="0" shapeId="0">
      <text>
        <t>The person you'll reach out to</t>
      </text>
    </comment>
    <comment ref="P1" authorId="0" shapeId="0">
      <text>
        <t>Last real step completed</t>
      </text>
    </comment>
    <comment ref="R1" authorId="0" shapeId="0">
      <text>
        <t>YYYY-MM-DD</t>
      </text>
    </comment>
    <comment ref="S1" authorId="0" shapeId="0">
      <text>
        <t>Active / Closed – offer / Closed – no / Withdrawn / Passed</t>
      </text>
    </comment>
    <comment ref="T1" authorId="0" shapeId="0">
      <text>
        <t>=HYPERLINK formula, see docs/sheet-schema.md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1" authorId="0" shapeId="0">
      <text>
        <t>Matches the Jobs tab</t>
      </text>
    </comment>
    <comment ref="B1" authorId="0" shapeId="0">
      <text>
        <t>YYYY-MM-DD</t>
      </text>
    </comment>
    <comment ref="C1" authorId="0" shapeId="0">
      <text>
        <t>One fact per row</t>
      </text>
    </comment>
    <comment ref="D1" authorId="0" shapeId="0">
      <text>
        <t>Verified / Estimated / Inferred</t>
      </text>
    </comment>
    <comment ref="F1" authorId="0" shapeId="0">
      <text>
        <t>Job posting / Company site / Filing / News / Person / Your records / Other</t>
      </text>
    </comment>
    <comment ref="G1" authorId="0" shapeId="0">
      <text>
        <t>Verified: where it was confirmed. Estimated: the method. Inferred: the reasoning.</t>
      </text>
    </comment>
    <comment ref="H1" authorId="0" shapeId="0">
      <text>
        <t>Agent or You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1" authorId="0" shapeId="0">
      <text>
        <t>YYYY-MM-DD</t>
      </text>
    </comment>
    <comment ref="C1" authorId="0" shapeId="0">
      <text>
        <t>e.g. Recruiter screen, Hiring manager, Panel</t>
      </text>
    </comment>
    <comment ref="F1" authorId="0" shapeId="0">
      <text>
        <t>Phone / Video / On-site</t>
      </text>
    </comment>
    <comment ref="I1" authorId="0" shapeId="0">
      <text>
        <t>Yes / No</t>
      </text>
    </comment>
  </commentList>
</comments>
</file>

<file path=xl/comments/comment5.xml><?xml version="1.0" encoding="utf-8"?>
<comments xmlns="http://schemas.openxmlformats.org/spreadsheetml/2006/main">
  <authors>
    <author>Unknown Author</author>
    <author>FitFactorOS</author>
  </authors>
  <commentList>
    <comment ref="A1" authorId="0" shapeId="0">
      <text>
        <t>YYYY-MM-DD</t>
      </text>
    </comment>
    <comment ref="B1" authorId="1" shapeId="0">
      <text>
        <t>Last day of your state's benefit week. The Activity Log fills this from your state's rules file.</t>
      </text>
    </comment>
    <comment ref="C1" authorId="0" shapeId="0">
      <text>
        <t>Optional; links to the Jobs tab</t>
      </text>
    </comment>
    <comment ref="D1" authorId="1" shapeId="0">
      <text>
        <t>Applied / Reviewed job posting / Outreach message / Networking contact / Informational interview / Interview / Job fair / Workshop or training / Other</t>
      </text>
    </comment>
    <comment ref="G1" authorId="0" shapeId="0">
      <text>
        <t>Email / Phone / In person / Video / Online application / Other</t>
      </text>
    </comment>
    <comment ref="J1" authorId="1" shapeId="0">
      <text>
        <t>Yes / No. Set only from your state's rules file. Blank means FitFactorOS can't confirm it, not that it doesn't count.</t>
      </text>
    </comment>
    <comment ref="M1" authorId="1" shapeId="0">
      <text>
        <t>As posted, or Not posted. Never an estimate.</t>
      </text>
    </comment>
    <comment ref="N1" authorId="1" shapeId="0">
      <text>
        <t>As the employer gives it. Leave blank if unknown.</t>
      </text>
    </comment>
    <comment ref="O1" authorId="1" shapeId="0">
      <text>
        <t>Email, website, or phone used. For an online application, the job link.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style="9" min="1" max="1"/>
    <col width="16" customWidth="1" style="9" min="2" max="2"/>
    <col width="16" customWidth="1" style="9" min="3" max="3"/>
    <col width="50" customWidth="1" style="9" min="4" max="4"/>
  </cols>
  <sheetData>
    <row r="1">
      <c r="A1" s="18" t="inlineStr">
        <is>
          <t>FitFactorOS Dashboard</t>
        </is>
      </c>
    </row>
    <row r="2">
      <c r="A2" s="19" t="inlineStr">
        <is>
          <t>Updates on its own as you paste rows into the other tabs. Example rows are ignored. Nothing to type here except the yellow cell.</t>
        </is>
      </c>
    </row>
    <row r="4">
      <c r="A4" s="20" t="inlineStr">
        <is>
          <t>This week (Sunday to Saturday)</t>
        </is>
      </c>
      <c r="B4" s="21" t="n"/>
      <c r="C4" s="21" t="n"/>
      <c r="D4" s="21" t="n"/>
    </row>
    <row r="5">
      <c r="A5" s="22" t="inlineStr">
        <is>
          <t>Week starts</t>
        </is>
      </c>
      <c r="B5" s="23">
        <f>TODAY()-WEEKDAY(TODAY())+1</f>
        <v/>
      </c>
      <c r="C5" s="24" t="n"/>
      <c r="D5" s="24" t="n"/>
    </row>
    <row r="6">
      <c r="A6" s="22" t="inlineStr">
        <is>
          <t>Week ends</t>
        </is>
      </c>
      <c r="B6" s="23">
        <f>B5+6</f>
        <v/>
      </c>
      <c r="C6" s="24" t="n"/>
      <c r="D6" s="24" t="n"/>
    </row>
    <row r="7">
      <c r="A7" s="22" t="inlineStr">
        <is>
          <t>Jobs screened this week</t>
        </is>
      </c>
      <c r="B7" s="25">
        <f>COUNTIFS(Jobs!$A$2:$A$1000,"J-*",Jobs!$A$2:$A$1000,"&lt;&gt;*EXAMPLE",Jobs!$B$2:$B$1000,"&gt;="&amp;$B$5,Jobs!$B$2:$B$1000,"&lt;="&amp;$B$6)</f>
        <v/>
      </c>
      <c r="C7" s="24" t="n"/>
      <c r="D7" s="26" t="inlineStr">
        <is>
          <t>Every job you fit factor, including Passes</t>
        </is>
      </c>
    </row>
    <row r="8">
      <c r="A8" s="22" t="inlineStr">
        <is>
          <t>Activities this week that count for unemployment</t>
        </is>
      </c>
      <c r="B8" s="25">
        <f>COUNTIFS(Activity!$J$2:$J$1000,"Yes",Activity!$A$2:$A$1000,"&gt;="&amp;$B$5,Activity!$A$2:$A$1000,"&lt;="&amp;$B$6)</f>
        <v/>
      </c>
      <c r="C8" s="24" t="n"/>
      <c r="D8" s="26" t="inlineStr">
        <is>
          <t>Rows on the Activity tab marked Yes</t>
        </is>
      </c>
    </row>
    <row r="9">
      <c r="A9" s="22" t="inlineStr">
        <is>
          <t>Your state's weekly minimum</t>
        </is>
      </c>
      <c r="B9" s="27" t="n">
        <v>3</v>
      </c>
      <c r="C9" s="24" t="n"/>
      <c r="D9" s="26" t="inlineStr">
        <is>
          <t>Type your state's number. Massachusetts asks for at least 3. Check your state's current rule.</t>
        </is>
      </c>
    </row>
    <row r="10">
      <c r="A10" s="22" t="inlineStr">
        <is>
          <t>On track this week?</t>
        </is>
      </c>
      <c r="B10" s="25">
        <f>IF(B8&gt;=B9,"On track","Need "&amp;(B9-B8)&amp;" more")</f>
        <v/>
      </c>
      <c r="C10" s="24" t="n"/>
      <c r="D10" s="26" t="inlineStr">
        <is>
          <t>Rough check: screened jobs plus activities. Your weekly log gives the exact count.</t>
        </is>
      </c>
    </row>
    <row r="12">
      <c r="A12" s="20" t="inlineStr">
        <is>
          <t>Your search so far</t>
        </is>
      </c>
      <c r="B12" s="21" t="n"/>
      <c r="C12" s="21" t="n"/>
      <c r="D12" s="21" t="n"/>
    </row>
    <row r="13">
      <c r="A13" s="22" t="inlineStr">
        <is>
          <t>Jobs screened</t>
        </is>
      </c>
      <c r="B13" s="25">
        <f>COUNTIFS(Jobs!$A$2:$A$1000,"J-*",Jobs!$A$2:$A$1000,"&lt;&gt;*EXAMPLE")</f>
        <v/>
      </c>
      <c r="C13" s="24" t="n"/>
      <c r="D13" s="24" t="n"/>
    </row>
    <row r="14">
      <c r="A14" s="22" t="inlineStr">
        <is>
          <t>Pursue</t>
        </is>
      </c>
      <c r="B14" s="25">
        <f>COUNTIFS(Jobs!$A$2:$A$1000,"J-*",Jobs!$A$2:$A$1000,"&lt;&gt;*EXAMPLE",Jobs!$M$2:$M$1000,"Pursue")</f>
        <v/>
      </c>
      <c r="C14" s="24" t="n"/>
      <c r="D14" s="24" t="n"/>
    </row>
    <row r="15">
      <c r="A15" s="22" t="inlineStr">
        <is>
          <t>Maybe</t>
        </is>
      </c>
      <c r="B15" s="25">
        <f>COUNTIFS(Jobs!$A$2:$A$1000,"J-*",Jobs!$A$2:$A$1000,"&lt;&gt;*EXAMPLE",Jobs!$M$2:$M$1000,"Maybe")</f>
        <v/>
      </c>
      <c r="C15" s="24" t="n"/>
      <c r="D15" s="24" t="n"/>
    </row>
    <row r="16">
      <c r="A16" s="22" t="inlineStr">
        <is>
          <t>Pass</t>
        </is>
      </c>
      <c r="B16" s="25">
        <f>COUNTIFS(Jobs!$A$2:$A$1000,"J-*",Jobs!$A$2:$A$1000,"&lt;&gt;*EXAMPLE",Jobs!$M$2:$M$1000,"Pass")</f>
        <v/>
      </c>
      <c r="C16" s="24" t="n"/>
      <c r="D16" s="24" t="n"/>
    </row>
    <row r="17">
      <c r="A17" s="22" t="inlineStr">
        <is>
          <t>Active leads</t>
        </is>
      </c>
      <c r="B17" s="25">
        <f>COUNTIFS(Jobs!$A$2:$A$1000,"J-*",Jobs!$A$2:$A$1000,"&lt;&gt;*EXAMPLE",Jobs!$S$2:$S$1000,"Active")</f>
        <v/>
      </c>
      <c r="C17" s="24" t="n"/>
      <c r="D17" s="24" t="n"/>
    </row>
    <row r="18">
      <c r="A18" s="22" t="inlineStr">
        <is>
          <t>Interviews logged</t>
        </is>
      </c>
      <c r="B18" s="25">
        <f>COUNTIFS(Interviews!$B$2:$B$1000,"&lt;&gt;",Interviews!$A$2:$A$1000,"&lt;&gt;*EXAMPLE")</f>
        <v/>
      </c>
      <c r="C18" s="24" t="n"/>
      <c r="D18" s="24" t="n"/>
    </row>
    <row r="20">
      <c r="A20" s="20" t="inlineStr">
        <is>
          <t>Warm vs cold: your own results</t>
        </is>
      </c>
      <c r="B20" s="20" t="inlineStr">
        <is>
          <t>Warm</t>
        </is>
      </c>
      <c r="C20" s="20" t="inlineStr">
        <is>
          <t>Cold</t>
        </is>
      </c>
      <c r="D20" s="21" t="n"/>
    </row>
    <row r="21">
      <c r="A21" s="22" t="inlineStr">
        <is>
          <t>Leads</t>
        </is>
      </c>
      <c r="B21" s="25">
        <f>COUNTIFS(Jobs!$A$2:$A$1000,"J-*",Jobs!$A$2:$A$1000,"&lt;&gt;*EXAMPLE",Jobs!$N$2:$N$1000,"Warm")</f>
        <v/>
      </c>
      <c r="C21" s="25">
        <f>COUNTIFS(Jobs!$A$2:$A$1000,"J-*",Jobs!$A$2:$A$1000,"&lt;&gt;*EXAMPLE",Jobs!$N$2:$N$1000,"Cold")</f>
        <v/>
      </c>
      <c r="D21" s="24" t="n"/>
    </row>
    <row r="22">
      <c r="A22" s="22" t="inlineStr">
        <is>
          <t>Reached Applied or further</t>
        </is>
      </c>
      <c r="B22" s="25">
        <f>SUMPRODUCT(COUNTIFS(Jobs!$A$2:$A$1000,"J-*",Jobs!$A$2:$A$1000,"&lt;&gt;*EXAMPLE",Jobs!$N$2:$N$1000,"Warm",Jobs!$P$2:$P$1000,{"Applied","Heard back","Interviewing","Offer"}))</f>
        <v/>
      </c>
      <c r="C22" s="25">
        <f>SUMPRODUCT(COUNTIFS(Jobs!$A$2:$A$1000,"J-*",Jobs!$A$2:$A$1000,"&lt;&gt;*EXAMPLE",Jobs!$N$2:$N$1000,"Cold",Jobs!$P$2:$P$1000,{"Applied","Heard back","Interviewing","Offer"}))</f>
        <v/>
      </c>
      <c r="D22" s="24" t="n"/>
    </row>
    <row r="23">
      <c r="A23" s="22" t="inlineStr">
        <is>
          <t>Reached Interviewing or further</t>
        </is>
      </c>
      <c r="B23" s="25">
        <f>SUMPRODUCT(COUNTIFS(Jobs!$A$2:$A$1000,"J-*",Jobs!$A$2:$A$1000,"&lt;&gt;*EXAMPLE",Jobs!$N$2:$N$1000,"Warm",Jobs!$P$2:$P$1000,{"Interviewing","Offer"}))</f>
        <v/>
      </c>
      <c r="C23" s="25">
        <f>SUMPRODUCT(COUNTIFS(Jobs!$A$2:$A$1000,"J-*",Jobs!$A$2:$A$1000,"&lt;&gt;*EXAMPLE",Jobs!$N$2:$N$1000,"Cold",Jobs!$P$2:$P$1000,{"Interviewing","Offer"}))</f>
        <v/>
      </c>
      <c r="D23" s="24" t="n"/>
    </row>
    <row r="24">
      <c r="A24" s="22" t="inlineStr">
        <is>
          <t>Leads that became interviews</t>
        </is>
      </c>
      <c r="B24" s="28">
        <f>IFERROR(B23/B21,"—")</f>
        <v/>
      </c>
      <c r="C24" s="28">
        <f>IFERROR(C23/C21,"—")</f>
        <v/>
      </c>
      <c r="D24" s="26" t="inlineStr">
        <is>
          <t>Your numbers, not borrowed stats. Small counts swing a lot, so read this after 10+ leads.</t>
        </is>
      </c>
    </row>
    <row r="26">
      <c r="A26" s="20" t="inlineStr">
        <is>
          <t>The ladder: where your jobs are now</t>
        </is>
      </c>
      <c r="B26" s="21" t="n"/>
      <c r="C26" s="21" t="n"/>
      <c r="D26" s="21" t="n"/>
    </row>
    <row r="27">
      <c r="A27" s="22" t="inlineStr">
        <is>
          <t>Picked</t>
        </is>
      </c>
      <c r="B27" s="25">
        <f>COUNTIFS(Jobs!$A$2:$A$1000,"J-*",Jobs!$A$2:$A$1000,"&lt;&gt;*EXAMPLE",Jobs!$P$2:$P$1000,"Picked")</f>
        <v/>
      </c>
      <c r="C27" s="24" t="n"/>
      <c r="D27" s="26" t="inlineStr">
        <is>
          <t>Rungs only move for real steps. Warm paths often skip the middle rungs.</t>
        </is>
      </c>
    </row>
    <row r="28">
      <c r="A28" s="22" t="inlineStr">
        <is>
          <t>Researched</t>
        </is>
      </c>
      <c r="B28" s="25">
        <f>COUNTIFS(Jobs!$A$2:$A$1000,"J-*",Jobs!$A$2:$A$1000,"&lt;&gt;*EXAMPLE",Jobs!$P$2:$P$1000,"Researched")</f>
        <v/>
      </c>
      <c r="C28" s="24" t="n"/>
      <c r="D28" s="24" t="n"/>
    </row>
    <row r="29">
      <c r="A29" s="22" t="inlineStr">
        <is>
          <t>Found the right person</t>
        </is>
      </c>
      <c r="B29" s="25">
        <f>COUNTIFS(Jobs!$A$2:$A$1000,"J-*",Jobs!$A$2:$A$1000,"&lt;&gt;*EXAMPLE",Jobs!$P$2:$P$1000,"Found the right person")</f>
        <v/>
      </c>
      <c r="C29" s="24" t="n"/>
      <c r="D29" s="24" t="n"/>
    </row>
    <row r="30">
      <c r="A30" s="22" t="inlineStr">
        <is>
          <t>Reached out to contact</t>
        </is>
      </c>
      <c r="B30" s="25">
        <f>COUNTIFS(Jobs!$A$2:$A$1000,"J-*",Jobs!$A$2:$A$1000,"&lt;&gt;*EXAMPLE",Jobs!$P$2:$P$1000,"Reached out to contact")</f>
        <v/>
      </c>
      <c r="C30" s="24" t="n"/>
      <c r="D30" s="24" t="n"/>
    </row>
    <row r="31">
      <c r="A31" s="22" t="inlineStr">
        <is>
          <t>Sent a researched note</t>
        </is>
      </c>
      <c r="B31" s="25">
        <f>COUNTIFS(Jobs!$A$2:$A$1000,"J-*",Jobs!$A$2:$A$1000,"&lt;&gt;*EXAMPLE",Jobs!$P$2:$P$1000,"Sent a researched note")</f>
        <v/>
      </c>
      <c r="C31" s="24" t="n"/>
      <c r="D31" s="24" t="n"/>
    </row>
    <row r="32">
      <c r="A32" s="22" t="inlineStr">
        <is>
          <t>Applied</t>
        </is>
      </c>
      <c r="B32" s="25">
        <f>COUNTIFS(Jobs!$A$2:$A$1000,"J-*",Jobs!$A$2:$A$1000,"&lt;&gt;*EXAMPLE",Jobs!$P$2:$P$1000,"Applied")</f>
        <v/>
      </c>
      <c r="C32" s="24" t="n"/>
      <c r="D32" s="24" t="n"/>
    </row>
    <row r="33">
      <c r="A33" s="22" t="inlineStr">
        <is>
          <t>Heard back</t>
        </is>
      </c>
      <c r="B33" s="25">
        <f>COUNTIFS(Jobs!$A$2:$A$1000,"J-*",Jobs!$A$2:$A$1000,"&lt;&gt;*EXAMPLE",Jobs!$P$2:$P$1000,"Heard back")</f>
        <v/>
      </c>
      <c r="C33" s="24" t="n"/>
      <c r="D33" s="24" t="n"/>
    </row>
    <row r="34">
      <c r="A34" s="22" t="inlineStr">
        <is>
          <t>Interviewing</t>
        </is>
      </c>
      <c r="B34" s="25">
        <f>COUNTIFS(Jobs!$A$2:$A$1000,"J-*",Jobs!$A$2:$A$1000,"&lt;&gt;*EXAMPLE",Jobs!$P$2:$P$1000,"Interviewing")</f>
        <v/>
      </c>
      <c r="C34" s="24" t="n"/>
      <c r="D34" s="24" t="n"/>
    </row>
    <row r="35">
      <c r="A35" s="22" t="inlineStr">
        <is>
          <t>Offer</t>
        </is>
      </c>
      <c r="B35" s="25">
        <f>COUNTIFS(Jobs!$A$2:$A$1000,"J-*",Jobs!$A$2:$A$1000,"&lt;&gt;*EXAMPLE",Jobs!$P$2:$P$1000,"Offer")</f>
        <v/>
      </c>
      <c r="C35" s="24" t="n"/>
      <c r="D35" s="2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8" min="1" max="1"/>
    <col width="46" customWidth="1" style="8" min="2" max="3"/>
    <col width="32" customWidth="1" style="8" min="4" max="4"/>
    <col width="48" customWidth="1" style="8" min="5" max="5"/>
  </cols>
  <sheetData>
    <row r="1" ht="30" customHeight="1" s="9">
      <c r="A1" s="10" t="inlineStr">
        <is>
          <t>Field</t>
        </is>
      </c>
      <c r="B1" s="10" t="inlineStr">
        <is>
          <t>Your answer</t>
        </is>
      </c>
      <c r="C1" s="10" t="inlineStr">
        <is>
          <t>Example</t>
        </is>
      </c>
      <c r="D1" s="10" t="inlineStr">
        <is>
          <t>When Intake asks</t>
        </is>
      </c>
      <c r="E1" s="10" t="inlineStr">
        <is>
          <t>Note</t>
        </is>
      </c>
    </row>
    <row r="2" s="9">
      <c r="A2" s="11" t="inlineStr">
        <is>
          <t>Gmail address (for inbox links)</t>
        </is>
      </c>
      <c r="B2" s="12" t="n"/>
      <c r="C2" s="13" t="inlineStr">
        <is>
          <t>alex.sample@gmail.com</t>
        </is>
      </c>
      <c r="D2" s="14" t="inlineStr">
        <is>
          <t>Turn 1</t>
        </is>
      </c>
      <c r="E2" s="14" t="inlineStr">
        <is>
          <t>Used only to build links that open your own inbox. Goes in your own Sheet.</t>
        </is>
      </c>
    </row>
    <row r="3" s="9">
      <c r="A3" s="11" t="inlineStr">
        <is>
          <t>Your name</t>
        </is>
      </c>
      <c r="B3" s="12" t="n"/>
      <c r="C3" s="13" t="inlineStr">
        <is>
          <t>Alex Sample</t>
        </is>
      </c>
      <c r="D3" s="14" t="inlineStr">
        <is>
          <t>Turn 1 (resume) or Turn 4</t>
        </is>
      </c>
      <c r="E3" s="14" t="n"/>
    </row>
    <row r="4" s="9">
      <c r="A4" s="11" t="inlineStr">
        <is>
          <t>Resume file</t>
        </is>
      </c>
      <c r="B4" s="12" t="n"/>
      <c r="C4" s="13" t="inlineStr">
        <is>
          <t>Alex_Sample_Resume_2026.pdf</t>
        </is>
      </c>
      <c r="D4" s="14" t="inlineStr">
        <is>
          <t>Turn 1 (resume)</t>
        </is>
      </c>
      <c r="E4" s="14" t="inlineStr">
        <is>
          <t>File name or Drive link. The resume itself stays in your Drive.</t>
        </is>
      </c>
    </row>
    <row r="5" s="9">
      <c r="A5" s="11" t="inlineStr">
        <is>
          <t>Most recent role</t>
        </is>
      </c>
      <c r="B5" s="12" t="n"/>
      <c r="C5" s="13" t="inlineStr">
        <is>
          <t>Customer Success Manager, Northwind Software</t>
        </is>
      </c>
      <c r="D5" s="14" t="inlineStr">
        <is>
          <t>Turn 1 (resume) or Turn 4</t>
        </is>
      </c>
      <c r="E5" s="14" t="n"/>
    </row>
    <row r="6" s="9">
      <c r="A6" s="11" t="inlineStr">
        <is>
          <t>Years of experience</t>
        </is>
      </c>
      <c r="B6" s="12" t="n"/>
      <c r="C6" s="13" t="inlineStr">
        <is>
          <t>About 9 (estimate)</t>
        </is>
      </c>
      <c r="D6" s="14" t="inlineStr">
        <is>
          <t>Turn 1 (resume) or Turn 4</t>
        </is>
      </c>
      <c r="E6" s="14" t="n"/>
    </row>
    <row r="7" s="9">
      <c r="A7" s="11" t="inlineStr">
        <is>
          <t>Top skills</t>
        </is>
      </c>
      <c r="B7" s="12" t="n"/>
      <c r="C7" s="13" t="inlineStr">
        <is>
          <t>Onboarding; renewals; customer training; Salesforce; SQL basics</t>
        </is>
      </c>
      <c r="D7" s="14" t="inlineStr">
        <is>
          <t>Turn 1 (resume) or Turn 4</t>
        </is>
      </c>
      <c r="E7" s="14" t="n"/>
    </row>
    <row r="8" s="9">
      <c r="A8" s="11" t="inlineStr">
        <is>
          <t>Target roles</t>
        </is>
      </c>
      <c r="B8" s="12" t="n"/>
      <c r="C8" s="13" t="inlineStr">
        <is>
          <t>Customer Success Manager; Customer Education Lead; Implementation Manager</t>
        </is>
      </c>
      <c r="D8" s="14" t="inlineStr">
        <is>
          <t>Turn 2 (tap) or Turn 4</t>
        </is>
      </c>
      <c r="E8" s="14" t="n"/>
    </row>
    <row r="9" s="9">
      <c r="A9" s="11" t="inlineStr">
        <is>
          <t>Where you can work</t>
        </is>
      </c>
      <c r="B9" s="12" t="n"/>
      <c r="C9" s="13" t="inlineStr">
        <is>
          <t>Remote (US) or hybrid in Columbus, OH</t>
        </is>
      </c>
      <c r="D9" s="14" t="inlineStr">
        <is>
          <t>Turn 2 (tap) + Turn 4</t>
        </is>
      </c>
      <c r="E9" s="14" t="n"/>
    </row>
    <row r="10" s="9">
      <c r="A10" s="11" t="inlineStr">
        <is>
          <t>Pay floor</t>
        </is>
      </c>
      <c r="B10" s="12" t="n"/>
      <c r="C10" s="13" t="inlineStr">
        <is>
          <t>$95,000 base</t>
        </is>
      </c>
      <c r="D10" s="14" t="inlineStr">
        <is>
          <t>Turn 4</t>
        </is>
      </c>
      <c r="E10" s="14" t="inlineStr">
        <is>
          <t>The lowest you'd accept. Used only to screen jobs out. Goes in your own Sheet.</t>
        </is>
      </c>
    </row>
    <row r="11" s="9">
      <c r="A11" s="11" t="inlineStr">
        <is>
          <t>Deal-breakers</t>
        </is>
      </c>
      <c r="B11" s="12" t="n"/>
      <c r="C11" s="13" t="inlineStr">
        <is>
          <t>No 100% travel roles; no commission-only pay</t>
        </is>
      </c>
      <c r="D11" s="14" t="inlineStr">
        <is>
          <t>Turn 2 (tap) + Turn 4</t>
        </is>
      </c>
      <c r="E11" s="14" t="n"/>
    </row>
    <row r="12" s="9">
      <c r="A12" s="11" t="inlineStr">
        <is>
          <t>Companies to avoid</t>
        </is>
      </c>
      <c r="B12" s="12" t="n"/>
      <c r="C12" s="13" t="inlineStr">
        <is>
          <t>Contoso Group</t>
        </is>
      </c>
      <c r="D12" s="14" t="inlineStr">
        <is>
          <t>Turn 4</t>
        </is>
      </c>
      <c r="E12" s="14" t="n"/>
    </row>
    <row r="13" s="9">
      <c r="A13" s="11" t="inlineStr">
        <is>
          <t>Work that makes you lose track of time</t>
        </is>
      </c>
      <c r="B13" s="12" t="n"/>
      <c r="C13" s="13" t="inlineStr">
        <is>
          <t>Building training programs; untangling a messy customer rollout</t>
        </is>
      </c>
      <c r="D13" s="14" t="inlineStr">
        <is>
          <t>Turn 3 (tap)</t>
        </is>
      </c>
      <c r="E13" s="14" t="n"/>
    </row>
    <row r="14" s="9">
      <c r="A14" s="11" t="inlineStr">
        <is>
          <t>Dream companies</t>
        </is>
      </c>
      <c r="B14" s="12" t="n"/>
      <c r="C14" s="13" t="inlineStr">
        <is>
          <t>Fabrikam Health; Lumen Learning Co.</t>
        </is>
      </c>
      <c r="D14" s="14" t="inlineStr">
        <is>
          <t>Turn 4</t>
        </is>
      </c>
      <c r="E14" s="14" t="n"/>
    </row>
    <row r="15" s="9">
      <c r="A15" s="11" t="inlineStr">
        <is>
          <t>People you know (and where)</t>
        </is>
      </c>
      <c r="B15" s="12" t="n"/>
      <c r="C15" s="13" t="inlineStr">
        <is>
          <t>Priya N. at Fabrikam Health (former teammate); Sam T. at Tailspin Labs (college friend)</t>
        </is>
      </c>
      <c r="D15" s="14" t="inlineStr">
        <is>
          <t>Turn 4</t>
        </is>
      </c>
      <c r="E15" s="14" t="inlineStr">
        <is>
          <t>Used only to find warm introductions. Goes in your own Sheet.</t>
        </is>
      </c>
    </row>
    <row r="16" s="9">
      <c r="A16" s="11" t="inlineStr">
        <is>
          <t>State</t>
        </is>
      </c>
      <c r="B16" s="12" t="n"/>
      <c r="C16" s="13" t="inlineStr">
        <is>
          <t>Ohio</t>
        </is>
      </c>
      <c r="D16" s="14" t="inlineStr">
        <is>
          <t>Turn 4</t>
        </is>
      </c>
      <c r="E16" s="14" t="n"/>
    </row>
    <row r="17" s="9">
      <c r="A17" s="11" t="inlineStr">
        <is>
          <t>Collecting unemployment?</t>
        </is>
      </c>
      <c r="B17" s="12" t="n"/>
      <c r="C17" s="13" t="inlineStr">
        <is>
          <t>Yes</t>
        </is>
      </c>
      <c r="D17" s="14" t="inlineStr">
        <is>
          <t>Turn 3 (tap)</t>
        </is>
      </c>
      <c r="E17" s="14" t="inlineStr">
        <is>
          <t>Only powers the Activity Log. Goes in your own Sheet.</t>
        </is>
      </c>
    </row>
    <row r="18" s="9">
      <c r="A18" s="11" t="inlineStr">
        <is>
          <t>Wins with numbers</t>
        </is>
      </c>
      <c r="B18" s="12" t="n"/>
      <c r="C18" s="13" t="inlineStr">
        <is>
          <t>Cut onboarding time from 60 to 35 days; renewed 96% of a $4M book</t>
        </is>
      </c>
      <c r="D18" s="14" t="inlineStr">
        <is>
          <t>Turn 3 (tap) or Turn 4 (optional)</t>
        </is>
      </c>
      <c r="E18" s="14" t="inlineStr">
        <is>
          <t>Keep each win short, with its number.</t>
        </is>
      </c>
    </row>
    <row r="19" s="9">
      <c r="A19" s="11" t="inlineStr">
        <is>
          <t>Profile last updated</t>
        </is>
      </c>
      <c r="B19" s="12" t="n"/>
      <c r="C19" s="13" t="inlineStr">
        <is>
          <t>2026-09-24</t>
        </is>
      </c>
      <c r="D19" s="14" t="inlineStr">
        <is>
          <t>Turn 5 (filled in for you)</t>
        </is>
      </c>
      <c r="E19" s="14" t="inlineStr">
        <is>
          <t>Intake fills this in (YYYY-MM-DD).</t>
        </is>
      </c>
    </row>
    <row r="20">
      <c r="A20" s="11" t="inlineStr">
        <is>
          <t>Morning email sparks</t>
        </is>
      </c>
      <c r="B20" s="12" t="n"/>
      <c r="C20" s="13" t="inlineStr">
        <is>
          <t>Quote; Music</t>
        </is>
      </c>
      <c r="D20" s="14" t="inlineStr">
        <is>
          <t>Morning email setup (optional)</t>
        </is>
      </c>
    </row>
    <row r="21" s="9">
      <c r="A21" s="11" t="inlineStr">
        <is>
          <t>Sign (optional)</t>
        </is>
      </c>
      <c r="B21" s="12" t="n"/>
      <c r="C21" s="13" t="inlineStr">
        <is>
          <t>Capricorn</t>
        </is>
      </c>
      <c r="D21" s="14" t="inlineStr">
        <is>
          <t>Morning email setup (optional)</t>
        </is>
      </c>
    </row>
    <row r="22" s="9">
      <c r="A22" s="11" t="inlineStr">
        <is>
          <t>Morning email ready by</t>
        </is>
      </c>
      <c r="B22" s="12" t="n"/>
      <c r="C22" s="13" t="inlineStr">
        <is>
          <t>7:00 am</t>
        </is>
      </c>
      <c r="D22" s="14" t="inlineStr">
        <is>
          <t>Morning email setup (optional)</t>
        </is>
      </c>
    </row>
    <row r="23" s="9">
      <c r="A23" s="11" t="inlineStr">
        <is>
          <t>Dashboard link</t>
        </is>
      </c>
      <c r="B23" s="12" t="n"/>
      <c r="C23" s="13" t="inlineStr">
        <is>
          <t>skipped</t>
        </is>
      </c>
      <c r="D23" s="14" t="inlineStr">
        <is>
          <t>Morning email setup (optional)</t>
        </is>
      </c>
    </row>
    <row r="24" s="9"/>
    <row r="25" s="9"/>
    <row r="26">
      <c r="A26" s="15" t="inlineStr">
        <is>
          <t>How to use this tab</t>
        </is>
      </c>
    </row>
    <row r="27">
      <c r="A27" s="16" t="inlineStr">
        <is>
          <t>1. After Intake, click B2 and paste the answer block. Your answers fill B2 through B19.</t>
        </is>
      </c>
    </row>
    <row r="28">
      <c r="A28" s="16" t="inlineStr">
        <is>
          <t>2. To change one answer later, ask Claude to 'update my profile'. It tells you which cell to paste into.</t>
        </is>
      </c>
    </row>
    <row r="29">
      <c r="A29" s="16" t="inlineStr">
        <is>
          <t>3. Optional: say 'set up my morning email' and paste its 4 answers into B20 through B23.</t>
        </is>
      </c>
    </row>
    <row r="30">
      <c r="A30" s="29" t="inlineStr">
        <is>
          <t>Yellow cells are yours to fill. Column C is a fictional example.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U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8" min="1" max="1"/>
    <col width="16" customWidth="1" style="8" min="2" max="2"/>
    <col width="14" customWidth="1" style="8" min="3" max="6"/>
    <col width="18" customWidth="1" style="8" min="7" max="7"/>
    <col width="14" customWidth="1" style="8" min="8" max="8"/>
    <col width="15" customWidth="1" style="8" min="9" max="10"/>
    <col width="14" customWidth="1" style="8" min="11" max="11"/>
    <col width="15" customWidth="1" style="8" min="12" max="12"/>
    <col width="19" customWidth="1" style="8" min="13" max="13"/>
    <col width="14" customWidth="1" style="8" min="14" max="14"/>
    <col width="18" customWidth="1" style="8" min="15" max="16"/>
    <col width="15" customWidth="1" style="8" min="17" max="17"/>
    <col width="20" customWidth="1" style="8" min="18" max="18"/>
    <col width="14" customWidth="1" style="8" min="19" max="19"/>
    <col width="16" customWidth="1" style="8" min="20" max="20"/>
    <col width="14" customWidth="1" style="8" min="21" max="21"/>
  </cols>
  <sheetData>
    <row r="1" ht="30" customHeight="1" s="9">
      <c r="A1" s="10" t="inlineStr">
        <is>
          <t>Job ID</t>
        </is>
      </c>
      <c r="B1" s="10" t="inlineStr">
        <is>
          <t>Date added</t>
        </is>
      </c>
      <c r="C1" s="10" t="inlineStr">
        <is>
          <t>Company</t>
        </is>
      </c>
      <c r="D1" s="10" t="inlineStr">
        <is>
          <t>Role</t>
        </is>
      </c>
      <c r="E1" s="10" t="inlineStr">
        <is>
          <t>Job link</t>
        </is>
      </c>
      <c r="F1" s="10" t="inlineStr">
        <is>
          <t>Source</t>
        </is>
      </c>
      <c r="G1" s="10" t="inlineStr">
        <is>
          <t>Suggested by</t>
        </is>
      </c>
      <c r="H1" s="10" t="inlineStr">
        <is>
          <t>Location</t>
        </is>
      </c>
      <c r="I1" s="10" t="inlineStr">
        <is>
          <t>Work mode</t>
        </is>
      </c>
      <c r="J1" s="10" t="inlineStr">
        <is>
          <t>Pay range</t>
        </is>
      </c>
      <c r="K1" s="10" t="inlineStr">
        <is>
          <t>Pay tag</t>
        </is>
      </c>
      <c r="L1" s="10" t="inlineStr">
        <is>
          <t>Fit score</t>
        </is>
      </c>
      <c r="M1" s="10" t="inlineStr">
        <is>
          <t>Screen result</t>
        </is>
      </c>
      <c r="N1" s="10" t="inlineStr">
        <is>
          <t>Path</t>
        </is>
      </c>
      <c r="O1" s="10" t="inlineStr">
        <is>
          <t>Warm contact</t>
        </is>
      </c>
      <c r="P1" s="10" t="inlineStr">
        <is>
          <t>Ladder stage</t>
        </is>
      </c>
      <c r="Q1" s="10" t="inlineStr">
        <is>
          <t>Next step</t>
        </is>
      </c>
      <c r="R1" s="10" t="inlineStr">
        <is>
          <t>Next step date</t>
        </is>
      </c>
      <c r="S1" s="10" t="inlineStr">
        <is>
          <t>Status</t>
        </is>
      </c>
      <c r="T1" s="10" t="inlineStr">
        <is>
          <t>Email link</t>
        </is>
      </c>
      <c r="U1" s="10" t="inlineStr">
        <is>
          <t>Notes</t>
        </is>
      </c>
    </row>
    <row r="2" ht="52.2" customHeight="1" s="9">
      <c r="A2" s="13" t="inlineStr">
        <is>
          <t>J-260924-EXAMPLE</t>
        </is>
      </c>
      <c r="B2" s="13" t="inlineStr">
        <is>
          <t>2026-09-24</t>
        </is>
      </c>
      <c r="C2" s="13" t="inlineStr">
        <is>
          <t>Example Co.</t>
        </is>
      </c>
      <c r="D2" s="13" t="inlineStr">
        <is>
          <t>Example Role</t>
        </is>
      </c>
      <c r="E2" s="13" t="inlineStr">
        <is>
          <t>https://example.com/job</t>
        </is>
      </c>
      <c r="F2" s="13" t="inlineStr">
        <is>
          <t>Conversation</t>
        </is>
      </c>
      <c r="G2" s="13" t="inlineStr">
        <is>
          <t>A. Friend</t>
        </is>
      </c>
      <c r="H2" s="13" t="inlineStr">
        <is>
          <t>Remote (US)</t>
        </is>
      </c>
      <c r="I2" s="13" t="inlineStr">
        <is>
          <t>Remote</t>
        </is>
      </c>
      <c r="J2" s="13" t="inlineStr">
        <is>
          <t>$100,000–$120,000</t>
        </is>
      </c>
      <c r="K2" s="13" t="inlineStr">
        <is>
          <t>Verified</t>
        </is>
      </c>
      <c r="L2" s="13" t="n">
        <v>80</v>
      </c>
      <c r="M2" s="13" t="inlineStr">
        <is>
          <t>Pursue</t>
        </is>
      </c>
      <c r="N2" s="13" t="inlineStr">
        <is>
          <t>Warm</t>
        </is>
      </c>
      <c r="O2" s="13" t="inlineStr">
        <is>
          <t>A. Friend</t>
        </is>
      </c>
      <c r="P2" s="13" t="inlineStr">
        <is>
          <t>Picked</t>
        </is>
      </c>
      <c r="Q2" s="13" t="inlineStr">
        <is>
          <t>Research the company</t>
        </is>
      </c>
      <c r="R2" s="13" t="inlineStr">
        <is>
          <t>2026-09-25</t>
        </is>
      </c>
      <c r="S2" s="13" t="inlineStr">
        <is>
          <t>Active</t>
        </is>
      </c>
      <c r="T2" s="13" t="n"/>
      <c r="U2" s="13" t="inlineStr">
        <is>
          <t>EXAMPLE ROW – delete when you add your first job</t>
        </is>
      </c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</row>
    <row r="997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</row>
    <row r="99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</row>
    <row r="999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</row>
    <row r="1000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</row>
  </sheetData>
  <dataValidations count="7">
    <dataValidation sqref="F2:F1000" showDropDown="0" showInputMessage="0" showErrorMessage="0" allowBlank="1" type="list" errorStyle="stop" operator="between">
      <formula1>"Job board,Company site,Referral,Conversation,Recruiter,Job Finder,Other"</formula1>
      <formula2>0</formula2>
    </dataValidation>
    <dataValidation sqref="I2:I1000" showDropDown="0" showInputMessage="0" showErrorMessage="0" allowBlank="1" type="list" errorStyle="stop" operator="between">
      <formula1>"Remote,Hybrid,On-site"</formula1>
      <formula2>0</formula2>
    </dataValidation>
    <dataValidation sqref="K2:K1000" showDropDown="0" showInputMessage="0" showErrorMessage="0" allowBlank="1" type="list" errorStyle="stop" operator="between">
      <formula1>"Verified,Estimated,Inferred"</formula1>
      <formula2>0</formula2>
    </dataValidation>
    <dataValidation sqref="M2:M1000" showDropDown="0" showInputMessage="0" showErrorMessage="0" allowBlank="1" type="list" errorStyle="stop" operator="between">
      <formula1>"Pursue,Maybe,Pass"</formula1>
      <formula2>0</formula2>
    </dataValidation>
    <dataValidation sqref="N2:N1000" showDropDown="0" showInputMessage="0" showErrorMessage="0" allowBlank="1" type="list" errorStyle="stop" operator="between">
      <formula1>"Warm,Cold"</formula1>
      <formula2>0</formula2>
    </dataValidation>
    <dataValidation sqref="P2:P1000" showDropDown="0" showInputMessage="0" showErrorMessage="0" allowBlank="1" type="list" errorStyle="stop" operator="between">
      <formula1>"Picked,Researched,Found the right person,Reached out to contact,Sent a researched note,Applied,Heard back,Interviewing,Offer"</formula1>
      <formula2>0</formula2>
    </dataValidation>
    <dataValidation sqref="S2:S1000" showDropDown="0" showInputMessage="0" showErrorMessage="0" allowBlank="1" type="list" errorStyle="stop" operator="between">
      <formula1>"Active,Closed – offer,Closed – no,Withdrawn,Passed"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8" min="1" max="1"/>
    <col width="18" customWidth="1" style="8" min="2" max="2"/>
    <col width="14" customWidth="1" style="8" min="3" max="4"/>
    <col width="17" customWidth="1" style="8" min="5" max="7"/>
    <col width="16" customWidth="1" style="8" min="8" max="8"/>
  </cols>
  <sheetData>
    <row r="1" ht="30" customHeight="1" s="9">
      <c r="A1" s="10" t="inlineStr">
        <is>
          <t>Job ID</t>
        </is>
      </c>
      <c r="B1" s="10" t="inlineStr">
        <is>
          <t>Date checked</t>
        </is>
      </c>
      <c r="C1" s="10" t="inlineStr">
        <is>
          <t>Claim</t>
        </is>
      </c>
      <c r="D1" s="10" t="inlineStr">
        <is>
          <t>Tag</t>
        </is>
      </c>
      <c r="E1" s="10" t="inlineStr">
        <is>
          <t>Source link</t>
        </is>
      </c>
      <c r="F1" s="10" t="inlineStr">
        <is>
          <t>Source type</t>
        </is>
      </c>
      <c r="G1" s="10" t="inlineStr">
        <is>
          <t>How we know</t>
        </is>
      </c>
      <c r="H1" s="10" t="inlineStr">
        <is>
          <t>Checked by</t>
        </is>
      </c>
    </row>
    <row r="2" ht="52.2" customHeight="1" s="9">
      <c r="A2" s="13" t="inlineStr">
        <is>
          <t>J-260924-EXAMPLE</t>
        </is>
      </c>
      <c r="B2" s="13" t="inlineStr">
        <is>
          <t>2026-09-24</t>
        </is>
      </c>
      <c r="C2" s="13" t="inlineStr">
        <is>
          <t>Posted pay range is $100,000–$120,000</t>
        </is>
      </c>
      <c r="D2" s="13" t="inlineStr">
        <is>
          <t>Verified</t>
        </is>
      </c>
      <c r="E2" s="13" t="inlineStr">
        <is>
          <t>https://example.com/job</t>
        </is>
      </c>
      <c r="F2" s="13" t="inlineStr">
        <is>
          <t>Job posting</t>
        </is>
      </c>
      <c r="G2" s="13" t="inlineStr">
        <is>
          <t>Stated in the posting</t>
        </is>
      </c>
      <c r="H2" s="13" t="inlineStr">
        <is>
          <t>Agent</t>
        </is>
      </c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</row>
    <row r="997">
      <c r="A997" s="17" t="n"/>
      <c r="B997" s="17" t="n"/>
      <c r="C997" s="17" t="n"/>
      <c r="D997" s="17" t="n"/>
      <c r="E997" s="17" t="n"/>
      <c r="F997" s="17" t="n"/>
      <c r="G997" s="17" t="n"/>
      <c r="H997" s="17" t="n"/>
    </row>
    <row r="998">
      <c r="A998" s="17" t="n"/>
      <c r="B998" s="17" t="n"/>
      <c r="C998" s="17" t="n"/>
      <c r="D998" s="17" t="n"/>
      <c r="E998" s="17" t="n"/>
      <c r="F998" s="17" t="n"/>
      <c r="G998" s="17" t="n"/>
      <c r="H998" s="17" t="n"/>
    </row>
    <row r="999">
      <c r="A999" s="17" t="n"/>
      <c r="B999" s="17" t="n"/>
      <c r="C999" s="17" t="n"/>
      <c r="D999" s="17" t="n"/>
      <c r="E999" s="17" t="n"/>
      <c r="F999" s="17" t="n"/>
      <c r="G999" s="17" t="n"/>
      <c r="H999" s="17" t="n"/>
    </row>
    <row r="1000">
      <c r="A1000" s="17" t="n"/>
      <c r="B1000" s="17" t="n"/>
      <c r="C1000" s="17" t="n"/>
      <c r="D1000" s="17" t="n"/>
      <c r="E1000" s="17" t="n"/>
      <c r="F1000" s="17" t="n"/>
      <c r="G1000" s="17" t="n"/>
      <c r="H1000" s="17" t="n"/>
    </row>
  </sheetData>
  <dataValidations count="3">
    <dataValidation sqref="D2:D1000" showDropDown="0" showInputMessage="0" showErrorMessage="0" allowBlank="1" type="list" errorStyle="stop" operator="between">
      <formula1>"Verified,Estimated,Inferred"</formula1>
      <formula2>0</formula2>
    </dataValidation>
    <dataValidation sqref="F2:F1000" showDropDown="0" showInputMessage="0" showErrorMessage="0" allowBlank="1" type="list" errorStyle="stop" operator="between">
      <formula1>"Job posting,Company site,Filing,News,Person,Your records,Other"</formula1>
      <formula2>0</formula2>
    </dataValidation>
    <dataValidation sqref="H2:H1000" showDropDown="0" showInputMessage="0" showErrorMessage="0" allowBlank="1" type="list" errorStyle="stop" operator="between">
      <formula1>"Agent,You"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8" min="1" max="3"/>
    <col width="17" customWidth="1" style="8" min="4" max="4"/>
    <col width="23" customWidth="1" style="8" min="5" max="5"/>
    <col width="14" customWidth="1" style="8" min="6" max="6"/>
    <col width="21" customWidth="1" style="8" min="7" max="7"/>
    <col width="20" customWidth="1" style="8" min="8" max="9"/>
    <col width="16" customWidth="1" style="8" min="10" max="10"/>
    <col width="14" customWidth="1" style="8" min="11" max="11"/>
  </cols>
  <sheetData>
    <row r="1" ht="30" customHeight="1" s="9">
      <c r="A1" s="10" t="inlineStr">
        <is>
          <t>Job ID</t>
        </is>
      </c>
      <c r="B1" s="10" t="inlineStr">
        <is>
          <t>Date</t>
        </is>
      </c>
      <c r="C1" s="10" t="inlineStr">
        <is>
          <t>Round</t>
        </is>
      </c>
      <c r="D1" s="10" t="inlineStr">
        <is>
          <t>Interviewer</t>
        </is>
      </c>
      <c r="E1" s="10" t="inlineStr">
        <is>
          <t>Interviewer title</t>
        </is>
      </c>
      <c r="F1" s="10" t="inlineStr">
        <is>
          <t>Format</t>
        </is>
      </c>
      <c r="G1" s="10" t="inlineStr">
        <is>
          <t>Questions asked</t>
        </is>
      </c>
      <c r="H1" s="10" t="inlineStr">
        <is>
          <t>What I learned</t>
        </is>
      </c>
      <c r="I1" s="10" t="inlineStr">
        <is>
          <t>Thank-you sent</t>
        </is>
      </c>
      <c r="J1" s="10" t="inlineStr">
        <is>
          <t>Email link</t>
        </is>
      </c>
      <c r="K1" s="10" t="inlineStr">
        <is>
          <t>Notes</t>
        </is>
      </c>
    </row>
    <row r="2" ht="26.85" customHeight="1" s="9">
      <c r="A2" s="13" t="inlineStr">
        <is>
          <t>J-260924-EXAMPLE</t>
        </is>
      </c>
      <c r="B2" s="13" t="inlineStr">
        <is>
          <t>2026-09-30</t>
        </is>
      </c>
      <c r="C2" s="13" t="inlineStr">
        <is>
          <t>Recruiter screen</t>
        </is>
      </c>
      <c r="D2" s="13" t="inlineStr">
        <is>
          <t>B. Recruiter</t>
        </is>
      </c>
      <c r="E2" s="13" t="inlineStr">
        <is>
          <t>Recruiter</t>
        </is>
      </c>
      <c r="F2" s="13" t="inlineStr">
        <is>
          <t>Video</t>
        </is>
      </c>
      <c r="G2" s="13" t="n"/>
      <c r="H2" s="13" t="n"/>
      <c r="I2" s="13" t="inlineStr">
        <is>
          <t>No</t>
        </is>
      </c>
      <c r="J2" s="13" t="n"/>
      <c r="K2" s="13" t="inlineStr">
        <is>
          <t>EXAMPLE ROW – delete</t>
        </is>
      </c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</row>
    <row r="997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</row>
    <row r="99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</row>
    <row r="999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</row>
    <row r="1000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</row>
  </sheetData>
  <dataValidations count="2">
    <dataValidation sqref="F2:F1000" showDropDown="0" showInputMessage="0" showErrorMessage="0" allowBlank="1" type="list" errorStyle="stop" operator="between">
      <formula1>"Phone,Video,On-site"</formula1>
      <formula2>0</formula2>
    </dataValidation>
    <dataValidation sqref="I2:I1000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8" min="1" max="1"/>
    <col width="17" customWidth="1" style="8" min="2" max="2"/>
    <col width="14" customWidth="1" style="8" min="3" max="3"/>
    <col width="19" customWidth="1" style="8" min="4" max="4"/>
    <col width="28" customWidth="1" style="8" min="5" max="5"/>
    <col width="20" customWidth="1" style="8" min="6" max="7"/>
    <col width="14" customWidth="1" style="8" min="8" max="9"/>
    <col width="29" customWidth="1" style="8" min="10" max="10"/>
    <col width="16" customWidth="1" style="8" min="11" max="11"/>
    <col width="14" customWidth="1" style="8" min="12" max="12"/>
    <col width="16" customWidth="1" style="9" min="13" max="13"/>
    <col width="24" customWidth="1" style="9" min="14" max="14"/>
    <col width="28" customWidth="1" style="9" min="15" max="15"/>
  </cols>
  <sheetData>
    <row r="1" ht="30" customHeight="1" s="9">
      <c r="A1" s="10" t="inlineStr">
        <is>
          <t>Date</t>
        </is>
      </c>
      <c r="B1" s="10" t="inlineStr">
        <is>
          <t>Week ending</t>
        </is>
      </c>
      <c r="C1" s="10" t="inlineStr">
        <is>
          <t>Job ID</t>
        </is>
      </c>
      <c r="D1" s="10" t="inlineStr">
        <is>
          <t>Activity type</t>
        </is>
      </c>
      <c r="E1" s="10" t="inlineStr">
        <is>
          <t>Company / organization</t>
        </is>
      </c>
      <c r="F1" s="10" t="inlineStr">
        <is>
          <t>Contact person</t>
        </is>
      </c>
      <c r="G1" s="10" t="inlineStr">
        <is>
          <t>Contact method</t>
        </is>
      </c>
      <c r="H1" s="10" t="inlineStr">
        <is>
          <t>Position</t>
        </is>
      </c>
      <c r="I1" s="10" t="inlineStr">
        <is>
          <t>Result</t>
        </is>
      </c>
      <c r="J1" s="10" t="inlineStr">
        <is>
          <t>Counts for unemployment</t>
        </is>
      </c>
      <c r="K1" s="10" t="inlineStr">
        <is>
          <t>Email link</t>
        </is>
      </c>
      <c r="L1" s="10" t="inlineStr">
        <is>
          <t>Notes</t>
        </is>
      </c>
      <c r="M1" s="10" t="inlineStr">
        <is>
          <t>Pay rate</t>
        </is>
      </c>
      <c r="N1" s="10" t="inlineStr">
        <is>
          <t>Employer address</t>
        </is>
      </c>
      <c r="O1" s="10" t="inlineStr">
        <is>
          <t>Contact info</t>
        </is>
      </c>
    </row>
    <row r="2" ht="26.85" customHeight="1" s="9">
      <c r="A2" s="13" t="inlineStr">
        <is>
          <t>2026-09-24</t>
        </is>
      </c>
      <c r="B2" s="13" t="n"/>
      <c r="C2" s="13" t="inlineStr">
        <is>
          <t>J-260924-EXAMPLE</t>
        </is>
      </c>
      <c r="D2" s="13" t="inlineStr">
        <is>
          <t>Networking contact</t>
        </is>
      </c>
      <c r="E2" s="13" t="inlineStr">
        <is>
          <t>Example Co.</t>
        </is>
      </c>
      <c r="F2" s="13" t="inlineStr">
        <is>
          <t>A. Friend</t>
        </is>
      </c>
      <c r="G2" s="13" t="inlineStr">
        <is>
          <t>Phone</t>
        </is>
      </c>
      <c r="H2" s="13" t="inlineStr">
        <is>
          <t>Example Role</t>
        </is>
      </c>
      <c r="I2" s="13" t="n"/>
      <c r="J2" s="13" t="n"/>
      <c r="K2" s="13" t="n"/>
      <c r="L2" s="13" t="inlineStr">
        <is>
          <t>EXAMPLE ROW – delete</t>
        </is>
      </c>
      <c r="M2" s="13" t="inlineStr">
        <is>
          <t>$100,000–$120,000</t>
        </is>
      </c>
      <c r="N2" s="13" t="inlineStr">
        <is>
          <t>Boston, MA</t>
        </is>
      </c>
      <c r="O2" s="13" t="inlineStr">
        <is>
          <t>a.friend@example.com</t>
        </is>
      </c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</row>
    <row r="110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</row>
    <row r="111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</row>
    <row r="112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</row>
    <row r="113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</row>
    <row r="114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</row>
    <row r="115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</row>
    <row r="116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</row>
    <row r="117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</row>
    <row r="11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</row>
    <row r="119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</row>
    <row r="120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</row>
    <row r="121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</row>
    <row r="122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</row>
    <row r="123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</row>
    <row r="124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</row>
    <row r="125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</row>
    <row r="126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</row>
    <row r="127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</row>
    <row r="12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</row>
    <row r="129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</row>
    <row r="130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</row>
    <row r="131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</row>
    <row r="132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</row>
    <row r="133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</row>
    <row r="134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</row>
    <row r="135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</row>
    <row r="136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</row>
    <row r="137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</row>
    <row r="13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</row>
    <row r="139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</row>
    <row r="140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</row>
    <row r="141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</row>
    <row r="142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</row>
    <row r="143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</row>
    <row r="144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</row>
    <row r="145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</row>
    <row r="146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</row>
    <row r="147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</row>
    <row r="14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</row>
    <row r="149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</row>
    <row r="150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</row>
    <row r="151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</row>
    <row r="152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</row>
    <row r="153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</row>
    <row r="154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</row>
    <row r="155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</row>
    <row r="156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</row>
    <row r="157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</row>
    <row r="15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</row>
    <row r="159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</row>
    <row r="160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</row>
    <row r="161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</row>
    <row r="162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</row>
    <row r="163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</row>
    <row r="164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</row>
    <row r="165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</row>
    <row r="166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</row>
    <row r="167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</row>
    <row r="1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</row>
    <row r="169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</row>
    <row r="170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</row>
    <row r="171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</row>
    <row r="172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</row>
    <row r="173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</row>
    <row r="174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</row>
    <row r="175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</row>
    <row r="176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</row>
    <row r="177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</row>
    <row r="17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</row>
    <row r="179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</row>
    <row r="180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</row>
    <row r="181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</row>
    <row r="182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</row>
    <row r="183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</row>
    <row r="184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</row>
    <row r="185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</row>
    <row r="186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</row>
    <row r="187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</row>
    <row r="18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</row>
    <row r="189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</row>
    <row r="997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</row>
    <row r="99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</row>
    <row r="999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</row>
    <row r="1000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</row>
  </sheetData>
  <dataValidations count="3">
    <dataValidation sqref="D2:D1000" showDropDown="0" showInputMessage="0" showErrorMessage="0" allowBlank="1" type="list" errorStyle="stop" operator="between">
      <formula1>"Applied,Reviewed job posting,Outreach message,Networking contact,Informational interview,Interview,Job fair,Workshop or training,Other"</formula1>
      <formula2>0</formula2>
    </dataValidation>
    <dataValidation sqref="G2:G1000" showDropDown="0" showInputMessage="0" showErrorMessage="0" allowBlank="1" type="list" errorStyle="stop" operator="between">
      <formula1>"Email,Phone,In person,Video,Online application,Other"</formula1>
      <formula2>0</formula2>
    </dataValidation>
    <dataValidation sqref="J2:J1000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2026-09-24T13:06:35Z</dcterms:created>
  <dcterms:modified xmlns:dcterms="http://purl.org/dc/terms/" xmlns:xsi="http://www.w3.org/2001/XMLSchema-instance" xsi:type="dcterms:W3CDTF">2026-10-15T23:22:48Z</dcterms:modified>
  <cp:revision>0</cp:revision>
</cp:coreProperties>
</file>